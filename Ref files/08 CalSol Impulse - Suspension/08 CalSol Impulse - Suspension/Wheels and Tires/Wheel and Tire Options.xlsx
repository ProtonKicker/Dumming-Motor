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13335" windowHeight="5130"/>
  </bookViews>
  <sheets>
    <sheet name="Options" sheetId="1" r:id="rId1"/>
    <sheet name="Wishlist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3" i="2"/>
  <c r="D4"/>
  <c r="D5"/>
  <c r="D6"/>
  <c r="D7"/>
  <c r="I7"/>
  <c r="I3"/>
  <c r="I4"/>
</calcChain>
</file>

<file path=xl/sharedStrings.xml><?xml version="1.0" encoding="utf-8"?>
<sst xmlns="http://schemas.openxmlformats.org/spreadsheetml/2006/main" count="60" uniqueCount="46">
  <si>
    <t>Tire</t>
  </si>
  <si>
    <t>Compatible Wheel</t>
  </si>
  <si>
    <t>Michelin</t>
  </si>
  <si>
    <t>Dunlop</t>
  </si>
  <si>
    <t>Schwalbe</t>
  </si>
  <si>
    <t>GHCraft (3.0"X16")</t>
  </si>
  <si>
    <t>Tire Unit Cost ($)</t>
  </si>
  <si>
    <t>Wheel Unit Cost ($)</t>
  </si>
  <si>
    <t>GHCraft (2.15"X16")</t>
  </si>
  <si>
    <t>Sava MC2</t>
  </si>
  <si>
    <t>Low efficiency</t>
  </si>
  <si>
    <t>Tire Pros</t>
  </si>
  <si>
    <t>Tire Cons</t>
  </si>
  <si>
    <t>Wheel</t>
  </si>
  <si>
    <t>Wheel Pros</t>
  </si>
  <si>
    <t>Wheel Cons</t>
  </si>
  <si>
    <t>Compatible Tire</t>
  </si>
  <si>
    <t>Nomura Co.</t>
  </si>
  <si>
    <t>Dunlop, Schwalbe, Sava MC2</t>
  </si>
  <si>
    <t>GHCraft (2.15"X16"), Nomura Co.</t>
  </si>
  <si>
    <t>Low load rating (220lbs), expensive</t>
  </si>
  <si>
    <t>Expensive</t>
  </si>
  <si>
    <t>Free sample tires</t>
  </si>
  <si>
    <t xml:space="preserve">May or may not be acceptable for ASC (Not For Highway Use), slicks (safety?) </t>
  </si>
  <si>
    <t>Slicks (high efficiency)</t>
  </si>
  <si>
    <t>Manufactured for efficiency + highway use</t>
  </si>
  <si>
    <t>Cheap, durable, highway acceptable</t>
  </si>
  <si>
    <t>$1649 with cover, $1412 without</t>
  </si>
  <si>
    <t>Have 5 already (3 with, 2 without)</t>
  </si>
  <si>
    <t>Rumored manufacturing defects ('bubbles', i.e concentrated areas of stress)</t>
  </si>
  <si>
    <t>Compatible with Michelin, higher load rating?</t>
  </si>
  <si>
    <t>NuGen Mobility</t>
  </si>
  <si>
    <t>Only in 14in.</t>
  </si>
  <si>
    <t>?</t>
  </si>
  <si>
    <t>Cheaper, High load rating (500lbs)</t>
  </si>
  <si>
    <t>14 in. Dunlop</t>
  </si>
  <si>
    <t>Maybe higher load rating (waiting for confirmation)</t>
  </si>
  <si>
    <t>$850 if purchase 4 or more</t>
  </si>
  <si>
    <t>Item</t>
  </si>
  <si>
    <t>Qty.</t>
  </si>
  <si>
    <t>Unit Cost</t>
  </si>
  <si>
    <t>Total Cost</t>
  </si>
  <si>
    <t>Michelin Tires – Urban Concept 95/80 R16</t>
  </si>
  <si>
    <t>GH Craft Carbon Fiber rims – 3.00” X 16”</t>
  </si>
  <si>
    <t>Ideal</t>
  </si>
  <si>
    <t>Total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</si>
</sst>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6" fontId="0" fillId="0" borderId="1" xfId="0" applyNumberFormat="1" applyBorder="1" applyAlignment="1">
      <alignment wrapText="1"/>
    </xf>
    <xf numFmtId="164" fontId="0" fillId="0" borderId="0" xfId="0" applyNumberFormat="1"/>
    <xf numFmtId="0" fontId="2" fillId="2" borderId="2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64" fontId="0" fillId="3" borderId="3" xfId="0" applyNumberFormat="1" applyFill="1" applyBorder="1" applyAlignment="1">
      <alignment vertical="top" wrapText="1"/>
    </xf>
    <xf numFmtId="164" fontId="0" fillId="3" borderId="7" xfId="0" applyNumberFormat="1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164" fontId="0" fillId="4" borderId="3" xfId="0" applyNumberFormat="1" applyFill="1" applyBorder="1" applyAlignment="1">
      <alignment vertical="top" wrapText="1"/>
    </xf>
    <xf numFmtId="164" fontId="0" fillId="4" borderId="7" xfId="0" applyNumberFormat="1" applyFill="1" applyBorder="1" applyAlignment="1">
      <alignment vertical="top" wrapText="1"/>
    </xf>
    <xf numFmtId="0" fontId="2" fillId="2" borderId="8" xfId="0" applyFont="1" applyFill="1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164" fontId="0" fillId="5" borderId="9" xfId="0" applyNumberFormat="1" applyFill="1" applyBorder="1" applyAlignment="1">
      <alignment vertical="top" wrapText="1"/>
    </xf>
    <xf numFmtId="164" fontId="0" fillId="5" borderId="10" xfId="0" applyNumberFormat="1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164" fontId="0" fillId="5" borderId="3" xfId="0" applyNumberFormat="1" applyFill="1" applyBorder="1" applyAlignment="1">
      <alignment vertical="top" wrapText="1"/>
    </xf>
    <xf numFmtId="164" fontId="0" fillId="5" borderId="7" xfId="0" applyNumberFormat="1" applyFill="1" applyBorder="1" applyAlignment="1">
      <alignment vertical="top" wrapText="1"/>
    </xf>
    <xf numFmtId="0" fontId="2" fillId="2" borderId="11" xfId="0" applyFont="1" applyFill="1" applyBorder="1" applyAlignment="1">
      <alignment vertical="top" wrapText="1"/>
    </xf>
    <xf numFmtId="0" fontId="0" fillId="3" borderId="11" xfId="0" applyFill="1" applyBorder="1" applyAlignment="1">
      <alignment vertical="top" wrapText="1"/>
    </xf>
    <xf numFmtId="164" fontId="0" fillId="3" borderId="11" xfId="0" applyNumberFormat="1" applyFill="1" applyBorder="1" applyAlignment="1">
      <alignment vertical="top" wrapText="1"/>
    </xf>
    <xf numFmtId="0" fontId="0" fillId="4" borderId="11" xfId="0" applyFill="1" applyBorder="1" applyAlignment="1">
      <alignment vertical="top" wrapText="1"/>
    </xf>
    <xf numFmtId="164" fontId="0" fillId="4" borderId="11" xfId="0" applyNumberFormat="1" applyFill="1" applyBorder="1" applyAlignment="1">
      <alignment vertical="top" wrapText="1"/>
    </xf>
    <xf numFmtId="0" fontId="0" fillId="5" borderId="11" xfId="0" applyFill="1" applyBorder="1" applyAlignment="1">
      <alignment vertical="top" wrapText="1"/>
    </xf>
    <xf numFmtId="164" fontId="0" fillId="5" borderId="11" xfId="0" applyNumberFormat="1" applyFill="1" applyBorder="1" applyAlignment="1">
      <alignment vertical="top" wrapText="1"/>
    </xf>
  </cellXfs>
  <cellStyles count="1">
    <cellStyle name="Normal" xfId="0" builtinId="0"/>
  </cellStyles>
  <dxfs count="15">
    <dxf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general" vertical="top" textRotation="0" wrapText="1" indent="0" relativeIndent="0" justifyLastLine="0" shrinkToFit="0" mergeCell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border outline="0">
        <bottom style="thick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general" vertical="top" textRotation="0" wrapText="1" indent="0" relativeIndent="0" justifyLastLine="0" shrinkToFit="0" mergeCell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numFmt numFmtId="164" formatCode="&quot;$&quot;#,##0.00"/>
      <border diagonalUp="0" diagonalDown="0" outline="0">
        <left style="medium">
          <color rgb="FFFFFFFF"/>
        </left>
        <right/>
        <top style="medium">
          <color rgb="FFFFFFFF"/>
        </top>
        <bottom style="medium">
          <color rgb="FFFFFFFF"/>
        </bottom>
      </border>
    </dxf>
    <dxf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  <dxf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  <vertical style="medium">
          <color rgb="FFFFFFFF"/>
        </vertical>
        <horizontal style="medium">
          <color rgb="FFFFFFFF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general" vertical="top" textRotation="0" wrapText="1" indent="0" relativeIndent="0" justifyLastLine="0" shrinkToFit="0" mergeCell="0" readingOrder="0"/>
      <border diagonalUp="0" diagonalDown="0">
        <left/>
        <right style="medium">
          <color rgb="FFFFFFFF"/>
        </right>
        <top style="medium">
          <color rgb="FFFFFFFF"/>
        </top>
        <bottom style="medium">
          <color rgb="FFFFFFFF"/>
        </bottom>
        <vertical/>
        <horizontal/>
      </border>
    </dxf>
    <dxf>
      <border>
        <top style="medium">
          <color rgb="FFFFFFFF"/>
        </top>
        <vertical/>
        <horizontal/>
      </border>
    </dxf>
    <dxf>
      <border diagonalUp="0" diagonalDown="0">
        <left style="medium">
          <color rgb="FFFFFFFF"/>
        </left>
        <right style="medium">
          <color rgb="FFFFFFFF"/>
        </right>
        <top style="medium">
          <color rgb="FFFFFFFF"/>
        </top>
        <bottom style="medium">
          <color rgb="FFFFFFFF"/>
        </bottom>
      </border>
    </dxf>
    <dxf>
      <border>
        <bottom style="medium">
          <color rgb="FFFFFFF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3" tint="-0.499984740745262"/>
        </patternFill>
      </fill>
      <alignment horizontal="general" vertical="top" textRotation="0" wrapText="1" indent="0" relativeIndent="0" justifyLastLine="0" shrinkToFit="0" mergeCell="0" readingOrder="0"/>
      <border diagonalUp="0" diagonalDown="0">
        <left style="medium">
          <color rgb="FFFFFFFF"/>
        </left>
        <right style="medium">
          <color rgb="FFFFFFFF"/>
        </right>
        <top/>
        <bottom/>
      </border>
    </dxf>
  </dxfs>
  <tableStyles count="0" defaultTableStyle="TableStyleMedium9" defaultPivotStyle="PivotStyleLight16"/>
  <colors>
    <mruColors>
      <color rgb="FFFFFF66"/>
      <color rgb="FFFFCC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D7" totalsRowShown="0" headerRowDxfId="14" headerRowBorderDxfId="13" tableBorderDxfId="12" totalsRowBorderDxfId="11">
  <autoFilter ref="A2:D7"/>
  <tableColumns count="4">
    <tableColumn id="1" name="Item" dataDxfId="10"/>
    <tableColumn id="2" name="Qty." dataDxfId="9"/>
    <tableColumn id="3" name="Unit Cost" dataDxfId="8"/>
    <tableColumn id="4" name="Total Cost" dataDxfId="7">
      <calculatedColumnFormula>Table1[[#This Row],[Unit Cost]]*Table1[[#This Row],[Qty.]]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F2:I6" totalsRowShown="0" headerRowDxfId="6" headerRowBorderDxfId="5" tableBorderDxfId="4">
  <autoFilter ref="F2:I6"/>
  <tableColumns count="4">
    <tableColumn id="1" name="Item" dataDxfId="3"/>
    <tableColumn id="2" name="Qty." dataDxfId="2"/>
    <tableColumn id="3" name="Unit Cost" dataDxfId="1"/>
    <tableColumn id="4" name="Total Cost" dataDxfId="0">
      <calculatedColumnFormula>H3*G3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selection activeCell="B11" sqref="B11"/>
    </sheetView>
  </sheetViews>
  <sheetFormatPr defaultRowHeight="15"/>
  <cols>
    <col min="1" max="1" width="15.85546875" customWidth="1"/>
    <col min="2" max="2" width="16.5703125" customWidth="1"/>
    <col min="3" max="3" width="28.7109375" customWidth="1"/>
    <col min="4" max="4" width="35.28515625" customWidth="1"/>
    <col min="5" max="5" width="18.42578125" customWidth="1"/>
    <col min="6" max="6" width="13.28515625" customWidth="1"/>
    <col min="7" max="7" width="25.42578125" customWidth="1"/>
    <col min="8" max="8" width="23.5703125" customWidth="1"/>
  </cols>
  <sheetData>
    <row r="1" spans="1:8" ht="30" customHeight="1">
      <c r="A1" s="3" t="s">
        <v>0</v>
      </c>
      <c r="B1" s="3" t="s">
        <v>6</v>
      </c>
      <c r="C1" s="3" t="s">
        <v>11</v>
      </c>
      <c r="D1" s="3" t="s">
        <v>12</v>
      </c>
      <c r="E1" s="3" t="s">
        <v>1</v>
      </c>
      <c r="F1" s="2"/>
      <c r="G1" s="2"/>
      <c r="H1" s="2"/>
    </row>
    <row r="2" spans="1:8" ht="31.5" customHeight="1">
      <c r="A2" s="4" t="s">
        <v>2</v>
      </c>
      <c r="B2" s="5">
        <v>700</v>
      </c>
      <c r="C2" s="5" t="s">
        <v>25</v>
      </c>
      <c r="D2" s="5" t="s">
        <v>21</v>
      </c>
      <c r="E2" s="4" t="s">
        <v>5</v>
      </c>
      <c r="F2" s="1"/>
      <c r="G2" s="1"/>
      <c r="H2" s="1"/>
    </row>
    <row r="3" spans="1:8" ht="30.75" customHeight="1">
      <c r="A3" s="4" t="s">
        <v>3</v>
      </c>
      <c r="B3" s="5">
        <v>137</v>
      </c>
      <c r="C3" s="4" t="s">
        <v>24</v>
      </c>
      <c r="D3" s="4" t="s">
        <v>23</v>
      </c>
      <c r="E3" s="4" t="s">
        <v>19</v>
      </c>
      <c r="F3" s="1"/>
      <c r="G3" s="1"/>
      <c r="H3" s="1"/>
    </row>
    <row r="4" spans="1:8" ht="44.25" customHeight="1">
      <c r="A4" s="4" t="s">
        <v>4</v>
      </c>
      <c r="B4" s="4" t="s">
        <v>33</v>
      </c>
      <c r="C4" s="4" t="s">
        <v>22</v>
      </c>
      <c r="D4" s="4" t="s">
        <v>29</v>
      </c>
      <c r="E4" s="4" t="s">
        <v>19</v>
      </c>
      <c r="F4" s="1"/>
      <c r="G4" s="1"/>
      <c r="H4" s="1"/>
    </row>
    <row r="5" spans="1:8" ht="31.5" customHeight="1">
      <c r="A5" s="4" t="s">
        <v>9</v>
      </c>
      <c r="B5" s="5">
        <v>27</v>
      </c>
      <c r="C5" s="4" t="s">
        <v>26</v>
      </c>
      <c r="D5" s="4" t="s">
        <v>10</v>
      </c>
      <c r="E5" s="4" t="s">
        <v>19</v>
      </c>
    </row>
    <row r="9" spans="1:8" ht="30">
      <c r="A9" s="3" t="s">
        <v>13</v>
      </c>
      <c r="B9" s="3" t="s">
        <v>7</v>
      </c>
      <c r="C9" s="3" t="s">
        <v>14</v>
      </c>
      <c r="D9" s="3" t="s">
        <v>15</v>
      </c>
      <c r="E9" s="3" t="s">
        <v>16</v>
      </c>
    </row>
    <row r="10" spans="1:8" ht="30">
      <c r="A10" s="4" t="s">
        <v>5</v>
      </c>
      <c r="B10" s="5">
        <v>1780</v>
      </c>
      <c r="C10" s="4" t="s">
        <v>30</v>
      </c>
      <c r="D10" s="4" t="s">
        <v>21</v>
      </c>
      <c r="E10" s="4" t="s">
        <v>2</v>
      </c>
    </row>
    <row r="11" spans="1:8" ht="30.75" customHeight="1">
      <c r="A11" s="4" t="s">
        <v>8</v>
      </c>
      <c r="B11" s="5" t="s">
        <v>27</v>
      </c>
      <c r="C11" s="4" t="s">
        <v>28</v>
      </c>
      <c r="D11" s="4" t="s">
        <v>20</v>
      </c>
      <c r="E11" s="4" t="s">
        <v>18</v>
      </c>
    </row>
    <row r="12" spans="1:8" ht="30">
      <c r="A12" s="4" t="s">
        <v>17</v>
      </c>
      <c r="B12" s="5">
        <v>1754</v>
      </c>
      <c r="C12" s="4" t="s">
        <v>36</v>
      </c>
      <c r="D12" s="4" t="s">
        <v>21</v>
      </c>
      <c r="E12" s="4" t="s">
        <v>18</v>
      </c>
    </row>
    <row r="13" spans="1:8" s="1" customFormat="1" ht="30">
      <c r="A13" s="4" t="s">
        <v>31</v>
      </c>
      <c r="B13" s="4" t="s">
        <v>37</v>
      </c>
      <c r="C13" s="4" t="s">
        <v>34</v>
      </c>
      <c r="D13" s="4" t="s">
        <v>32</v>
      </c>
      <c r="E13" s="4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selection activeCell="E9" sqref="E9"/>
    </sheetView>
  </sheetViews>
  <sheetFormatPr defaultRowHeight="15"/>
  <cols>
    <col min="1" max="1" width="27.42578125" customWidth="1"/>
    <col min="2" max="2" width="6.85546875" customWidth="1"/>
    <col min="3" max="3" width="16.5703125" style="6" customWidth="1"/>
    <col min="4" max="4" width="16.42578125" style="6" customWidth="1"/>
    <col min="6" max="6" width="27.28515625" customWidth="1"/>
    <col min="7" max="7" width="7.85546875" customWidth="1"/>
    <col min="8" max="8" width="15.85546875" customWidth="1"/>
    <col min="9" max="9" width="16.7109375" customWidth="1"/>
  </cols>
  <sheetData>
    <row r="1" spans="1:9">
      <c r="A1" t="s">
        <v>44</v>
      </c>
    </row>
    <row r="2" spans="1:9" ht="38.25" customHeight="1" thickBot="1">
      <c r="A2" s="7" t="s">
        <v>38</v>
      </c>
      <c r="B2" s="8" t="s">
        <v>39</v>
      </c>
      <c r="C2" s="8" t="s">
        <v>40</v>
      </c>
      <c r="D2" s="9" t="s">
        <v>41</v>
      </c>
      <c r="F2" s="24" t="s">
        <v>38</v>
      </c>
      <c r="G2" s="24" t="s">
        <v>39</v>
      </c>
      <c r="H2" s="24" t="s">
        <v>40</v>
      </c>
      <c r="I2" s="24" t="s">
        <v>41</v>
      </c>
    </row>
    <row r="3" spans="1:9" ht="33.75" customHeight="1" thickBot="1">
      <c r="A3" s="10" t="s">
        <v>42</v>
      </c>
      <c r="B3" s="11">
        <v>10</v>
      </c>
      <c r="C3" s="12">
        <v>750</v>
      </c>
      <c r="D3" s="13">
        <f>Table1[[#This Row],[Unit Cost]]*Table1[[#This Row],[Qty.]]</f>
        <v>7500</v>
      </c>
      <c r="F3" s="24" t="s">
        <v>42</v>
      </c>
      <c r="G3" s="25">
        <v>10</v>
      </c>
      <c r="H3" s="26">
        <v>750</v>
      </c>
      <c r="I3" s="26">
        <f>H3*G3</f>
        <v>7500</v>
      </c>
    </row>
    <row r="4" spans="1:9" ht="30.75" thickBot="1">
      <c r="A4" s="10" t="s">
        <v>43</v>
      </c>
      <c r="B4" s="14">
        <v>6</v>
      </c>
      <c r="C4" s="15">
        <v>1780</v>
      </c>
      <c r="D4" s="16">
        <f>Table1[[#This Row],[Unit Cost]]*Table1[[#This Row],[Qty.]]</f>
        <v>10680</v>
      </c>
      <c r="F4" s="24" t="s">
        <v>43</v>
      </c>
      <c r="G4" s="27">
        <v>4</v>
      </c>
      <c r="H4" s="28">
        <v>1780</v>
      </c>
      <c r="I4" s="28">
        <f>H4*G4</f>
        <v>7120</v>
      </c>
    </row>
    <row r="5" spans="1:9" ht="15.75" thickBot="1">
      <c r="A5" s="10"/>
      <c r="B5" s="21"/>
      <c r="C5" s="22"/>
      <c r="D5" s="23">
        <f>Table1[[#This Row],[Unit Cost]]*Table1[[#This Row],[Qty.]]</f>
        <v>0</v>
      </c>
      <c r="F5" s="24"/>
      <c r="G5" s="29"/>
      <c r="H5" s="30"/>
      <c r="I5" s="30">
        <v>0</v>
      </c>
    </row>
    <row r="6" spans="1:9" ht="15.75" thickBot="1">
      <c r="A6" s="10"/>
      <c r="B6" s="14"/>
      <c r="C6" s="15"/>
      <c r="D6" s="16">
        <f>Table1[[#This Row],[Unit Cost]]*Table1[[#This Row],[Qty.]]</f>
        <v>0</v>
      </c>
      <c r="F6" s="24"/>
      <c r="G6" s="27"/>
      <c r="H6" s="28"/>
      <c r="I6" s="28">
        <v>0</v>
      </c>
    </row>
    <row r="7" spans="1:9">
      <c r="A7" s="17" t="s">
        <v>45</v>
      </c>
      <c r="B7" s="18"/>
      <c r="C7" s="19"/>
      <c r="D7" s="20">
        <f>SUM(D3:D6)</f>
        <v>18180</v>
      </c>
      <c r="F7" s="24" t="s">
        <v>45</v>
      </c>
      <c r="G7" s="29"/>
      <c r="H7" s="30"/>
      <c r="I7" s="30">
        <f>SUM(I3:I6)</f>
        <v>14620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Options</vt:lpstr>
      <vt:lpstr>Wishlist</vt:lpstr>
      <vt:lpstr>Sheet3</vt:lpstr>
    </vt:vector>
  </TitlesOfParts>
  <Company>BLACK EDITION - tum0r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</dc:creator>
  <cp:lastModifiedBy>Audrey</cp:lastModifiedBy>
  <dcterms:created xsi:type="dcterms:W3CDTF">2012-01-22T19:34:20Z</dcterms:created>
  <dcterms:modified xsi:type="dcterms:W3CDTF">2012-02-08T07:03:37Z</dcterms:modified>
</cp:coreProperties>
</file>